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r" sheetId="1" r:id="rId5"/>
  </sheets>
  <definedNames/>
  <calcPr/>
</workbook>
</file>

<file path=xl/sharedStrings.xml><?xml version="1.0" encoding="utf-8"?>
<sst xmlns="http://schemas.openxmlformats.org/spreadsheetml/2006/main" count="33" uniqueCount="26">
  <si>
    <t>Current Age</t>
  </si>
  <si>
    <t>Retirement Age</t>
  </si>
  <si>
    <t>Expenses planned until age</t>
  </si>
  <si>
    <t>Current Savings Amount</t>
  </si>
  <si>
    <t>Current Monthly Investments</t>
  </si>
  <si>
    <t>Current Savings - Investment Approach</t>
  </si>
  <si>
    <t>Returns</t>
  </si>
  <si>
    <t>Tax</t>
  </si>
  <si>
    <t>Share</t>
  </si>
  <si>
    <t>Fixed Returns</t>
  </si>
  <si>
    <t>Large Cap Mutual Funds</t>
  </si>
  <si>
    <t>Midcap Mutual Funds</t>
  </si>
  <si>
    <t>Smallcap mutual funds</t>
  </si>
  <si>
    <t>Step-up in savings every yr (till retirement)</t>
  </si>
  <si>
    <t>Post-retirement monthly amount (today's rate)</t>
  </si>
  <si>
    <t>Retirement Savings - Investment Approach</t>
  </si>
  <si>
    <t>Inflation</t>
  </si>
  <si>
    <t>Age</t>
  </si>
  <si>
    <t>Starting Saving</t>
  </si>
  <si>
    <t>Planned expenses (post-tax)</t>
  </si>
  <si>
    <t>Additional expenses (post-tax)</t>
  </si>
  <si>
    <t>Additional Savings</t>
  </si>
  <si>
    <t>Ending Savings</t>
  </si>
  <si>
    <t>Status</t>
  </si>
  <si>
    <t>Retirement year</t>
  </si>
  <si>
    <t>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</si>
</sst>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??_ ;_ @_ "/>
    <numFmt numFmtId="165" formatCode="0.0%"/>
    <numFmt numFmtId="166" formatCode="0.000%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2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164" xfId="0" applyAlignment="1" applyBorder="1" applyFont="1" applyNumberFormat="1">
      <alignment readingOrder="0"/>
    </xf>
    <xf borderId="0" fillId="0" fontId="2" numFmtId="9" xfId="0" applyFont="1" applyNumberFormat="1"/>
    <xf borderId="1" fillId="2" fontId="2" numFmtId="9" xfId="0" applyAlignment="1" applyBorder="1" applyFont="1" applyNumberForma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4.0"/>
    <col customWidth="1" min="3" max="3" width="25.57"/>
    <col customWidth="1" min="4" max="4" width="27.57"/>
    <col customWidth="1" min="5" max="5" width="17.14"/>
    <col customWidth="1" min="6" max="6" width="14.0"/>
    <col customWidth="1" min="7" max="7" width="7.57"/>
    <col customWidth="1" hidden="1" min="8" max="8" width="15.14"/>
    <col customWidth="1" min="9" max="9" width="8.43"/>
    <col customWidth="1" min="10" max="10" width="10.71"/>
    <col customWidth="1" min="11" max="26" width="8.71"/>
  </cols>
  <sheetData>
    <row r="1" ht="14.25" customHeight="1">
      <c r="A1" s="1" t="s">
        <v>0</v>
      </c>
      <c r="B1" s="2">
        <v>59.0</v>
      </c>
    </row>
    <row r="2" ht="14.25" customHeight="1">
      <c r="A2" s="1" t="s">
        <v>1</v>
      </c>
      <c r="B2" s="2">
        <v>60.0</v>
      </c>
    </row>
    <row r="3" ht="14.25" customHeight="1">
      <c r="A3" s="1" t="s">
        <v>2</v>
      </c>
      <c r="B3" s="2">
        <v>85.0</v>
      </c>
    </row>
    <row r="4" ht="14.25" customHeight="1"/>
    <row r="5" ht="14.25" customHeight="1">
      <c r="A5" s="1" t="s">
        <v>3</v>
      </c>
      <c r="B5" s="3">
        <v>1.6E7</v>
      </c>
    </row>
    <row r="6" ht="14.25" customHeight="1">
      <c r="A6" s="4" t="s">
        <v>4</v>
      </c>
      <c r="B6" s="5"/>
    </row>
    <row r="7" ht="14.25" customHeight="1">
      <c r="A7" s="1" t="s">
        <v>5</v>
      </c>
      <c r="B7" s="1" t="s">
        <v>6</v>
      </c>
      <c r="C7" s="1" t="s">
        <v>7</v>
      </c>
      <c r="D7" s="1" t="s">
        <v>8</v>
      </c>
    </row>
    <row r="8" ht="14.25" customHeight="1">
      <c r="A8" s="1" t="s">
        <v>9</v>
      </c>
      <c r="B8" s="6">
        <v>0.07</v>
      </c>
      <c r="C8" s="6">
        <v>0.3</v>
      </c>
      <c r="D8" s="7">
        <v>0.1</v>
      </c>
    </row>
    <row r="9" ht="14.25" customHeight="1">
      <c r="A9" s="1" t="s">
        <v>10</v>
      </c>
      <c r="B9" s="6">
        <v>0.12</v>
      </c>
      <c r="C9" s="6">
        <v>0.2</v>
      </c>
      <c r="D9" s="7">
        <v>0.4</v>
      </c>
    </row>
    <row r="10" ht="14.25" customHeight="1">
      <c r="A10" s="1" t="s">
        <v>11</v>
      </c>
      <c r="B10" s="6">
        <v>0.15</v>
      </c>
      <c r="C10" s="6">
        <v>0.2</v>
      </c>
      <c r="D10" s="7">
        <v>0.3</v>
      </c>
    </row>
    <row r="11" ht="14.25" customHeight="1">
      <c r="A11" s="1" t="s">
        <v>12</v>
      </c>
      <c r="B11" s="6">
        <v>0.18</v>
      </c>
      <c r="C11" s="6">
        <v>0.2</v>
      </c>
      <c r="D11" s="7">
        <v>0.2</v>
      </c>
    </row>
    <row r="12" ht="14.25" customHeight="1">
      <c r="D12" s="6">
        <f>SUM(D8:D11)</f>
        <v>1</v>
      </c>
      <c r="E12" s="8">
        <f>SUMPRODUCT(C8:C11,D8:D11)/SUM(D8:D11)</f>
        <v>0.21</v>
      </c>
      <c r="F12" s="9">
        <f>SUMPRODUCT(B8:B11,D8:D11)/SUM(D8:D11)</f>
        <v>0.136</v>
      </c>
    </row>
    <row r="13" ht="14.25" customHeight="1">
      <c r="A13" s="4" t="s">
        <v>13</v>
      </c>
      <c r="B13" s="7"/>
    </row>
    <row r="14" ht="14.25" customHeight="1"/>
    <row r="15" ht="14.25" customHeight="1">
      <c r="A15" s="1" t="s">
        <v>14</v>
      </c>
      <c r="B15" s="3">
        <v>60000.0</v>
      </c>
    </row>
    <row r="16" ht="14.25" customHeight="1">
      <c r="A16" s="1" t="s">
        <v>15</v>
      </c>
      <c r="B16" s="1" t="s">
        <v>6</v>
      </c>
      <c r="C16" s="1" t="s">
        <v>7</v>
      </c>
      <c r="D16" s="1" t="s">
        <v>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" t="s">
        <v>9</v>
      </c>
      <c r="B17" s="6">
        <v>0.07</v>
      </c>
      <c r="C17" s="6">
        <v>0.3</v>
      </c>
      <c r="D17" s="7">
        <v>0.75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" t="s">
        <v>10</v>
      </c>
      <c r="B18" s="6">
        <v>0.12</v>
      </c>
      <c r="C18" s="6">
        <v>0.2</v>
      </c>
      <c r="D18" s="7">
        <v>0.25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" t="s">
        <v>11</v>
      </c>
      <c r="B19" s="6">
        <v>0.15</v>
      </c>
      <c r="C19" s="6">
        <v>0.2</v>
      </c>
      <c r="D19" s="7">
        <v>0.0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" t="s">
        <v>12</v>
      </c>
      <c r="B20" s="6">
        <v>0.18</v>
      </c>
      <c r="C20" s="6">
        <v>0.2</v>
      </c>
      <c r="D20" s="7">
        <v>0.0</v>
      </c>
    </row>
    <row r="21" ht="14.25" customHeight="1">
      <c r="D21" s="6">
        <f>SUM(D17:D20)</f>
        <v>1</v>
      </c>
      <c r="E21" s="8">
        <f>SUMPRODUCT(C17:C20,D17:D20)/SUM(D17:D20)</f>
        <v>0.275</v>
      </c>
      <c r="F21" s="9">
        <f>SUMPRODUCT(B17:B20,D17:D20)/SUM(D17:D20)</f>
        <v>0.0825</v>
      </c>
    </row>
    <row r="22" ht="14.25" customHeight="1">
      <c r="A22" s="1" t="s">
        <v>16</v>
      </c>
      <c r="B22" s="7">
        <v>0.09</v>
      </c>
    </row>
    <row r="23" ht="14.25" customHeight="1"/>
    <row r="24" ht="14.25" customHeight="1">
      <c r="A24" s="11" t="s">
        <v>17</v>
      </c>
      <c r="B24" s="11" t="s">
        <v>18</v>
      </c>
      <c r="C24" s="11" t="s">
        <v>19</v>
      </c>
      <c r="D24" s="11" t="s">
        <v>20</v>
      </c>
      <c r="E24" s="11" t="s">
        <v>21</v>
      </c>
      <c r="F24" s="11" t="s">
        <v>22</v>
      </c>
      <c r="G24" s="11" t="s">
        <v>23</v>
      </c>
      <c r="H24" s="11" t="s">
        <v>24</v>
      </c>
      <c r="I24" s="11" t="s">
        <v>25</v>
      </c>
    </row>
    <row r="25" ht="14.25" customHeight="1">
      <c r="A25" s="1">
        <f>B1</f>
        <v>59</v>
      </c>
      <c r="B25" s="12">
        <f>B5</f>
        <v>16000000</v>
      </c>
      <c r="C25" s="12">
        <f t="shared" ref="C25:C107" si="1">IF(G25="Earning",0,IF(G25="Dead",0,IF(H25=1,$B$15*(1+$B$22)^($B$2-$B$1)*12,C24*(1+$B$22))))</f>
        <v>0</v>
      </c>
      <c r="D25" s="12"/>
      <c r="E25" s="12">
        <f>IF(G25="Earning",$B$6*12,0)</f>
        <v>0</v>
      </c>
      <c r="F25" s="12">
        <f t="shared" ref="F25:F107" si="2">IF(G25="Earning",B25*(1+$F$12)-C25/(1-$E$21)-D25/(1-$E$21)+E25,IF(G25="Retired",B25*(1+$F$21)-C25-D25+E25,0))</f>
        <v>18176000</v>
      </c>
      <c r="G25" s="1" t="str">
        <f t="shared" ref="G25:G107" si="3">IF(A25&lt;$B$2,"Earning",IF(A25&lt;$B$3,"Retired","Dead"))</f>
        <v>Earning</v>
      </c>
      <c r="I25" s="1" t="str">
        <f t="shared" ref="I25:I107" si="4">IF(F25&lt;0,"You have run out of money","")</f>
        <v/>
      </c>
    </row>
    <row r="26" ht="14.25" customHeight="1">
      <c r="A26" s="1">
        <f t="shared" ref="A26:A107" si="5">A25+1</f>
        <v>60</v>
      </c>
      <c r="B26" s="12">
        <f t="shared" ref="B26:B107" si="6">F25</f>
        <v>18176000</v>
      </c>
      <c r="C26" s="12">
        <f t="shared" si="1"/>
        <v>784800</v>
      </c>
      <c r="E26" s="12">
        <f t="shared" ref="E26:E107" si="7">IF(G26="Earning",E25*(1+$B$13),0)</f>
        <v>0</v>
      </c>
      <c r="F26" s="12">
        <f t="shared" si="2"/>
        <v>18890720</v>
      </c>
      <c r="G26" s="1" t="str">
        <f t="shared" si="3"/>
        <v>Retired</v>
      </c>
      <c r="H26" s="1">
        <f t="shared" ref="H26:H107" si="8">IF(G26="Dead",0,IF(G26=G25,0,1))</f>
        <v>1</v>
      </c>
      <c r="I26" s="1" t="str">
        <f t="shared" si="4"/>
        <v/>
      </c>
    </row>
    <row r="27" ht="14.25" customHeight="1">
      <c r="A27" s="1">
        <f t="shared" si="5"/>
        <v>61</v>
      </c>
      <c r="B27" s="12">
        <f t="shared" si="6"/>
        <v>18890720</v>
      </c>
      <c r="C27" s="12">
        <f t="shared" si="1"/>
        <v>855432</v>
      </c>
      <c r="E27" s="12">
        <f t="shared" si="7"/>
        <v>0</v>
      </c>
      <c r="F27" s="12">
        <f t="shared" si="2"/>
        <v>19593772.4</v>
      </c>
      <c r="G27" s="1" t="str">
        <f t="shared" si="3"/>
        <v>Retired</v>
      </c>
      <c r="H27" s="1">
        <f t="shared" si="8"/>
        <v>0</v>
      </c>
      <c r="I27" s="1" t="str">
        <f t="shared" si="4"/>
        <v/>
      </c>
    </row>
    <row r="28" ht="14.25" customHeight="1">
      <c r="A28" s="1">
        <f t="shared" si="5"/>
        <v>62</v>
      </c>
      <c r="B28" s="12">
        <f t="shared" si="6"/>
        <v>19593772.4</v>
      </c>
      <c r="C28" s="12">
        <f t="shared" si="1"/>
        <v>932420.88</v>
      </c>
      <c r="E28" s="12">
        <f t="shared" si="7"/>
        <v>0</v>
      </c>
      <c r="F28" s="12">
        <f t="shared" si="2"/>
        <v>20277837.74</v>
      </c>
      <c r="G28" s="1" t="str">
        <f t="shared" si="3"/>
        <v>Retired</v>
      </c>
      <c r="H28" s="1">
        <f t="shared" si="8"/>
        <v>0</v>
      </c>
      <c r="I28" s="1" t="str">
        <f t="shared" si="4"/>
        <v/>
      </c>
    </row>
    <row r="29" ht="14.25" customHeight="1">
      <c r="A29" s="1">
        <f t="shared" si="5"/>
        <v>63</v>
      </c>
      <c r="B29" s="12">
        <f t="shared" si="6"/>
        <v>20277837.74</v>
      </c>
      <c r="C29" s="12">
        <f t="shared" si="1"/>
        <v>1016338.759</v>
      </c>
      <c r="E29" s="12">
        <f t="shared" si="7"/>
        <v>0</v>
      </c>
      <c r="F29" s="12">
        <f t="shared" si="2"/>
        <v>20934420.6</v>
      </c>
      <c r="G29" s="1" t="str">
        <f t="shared" si="3"/>
        <v>Retired</v>
      </c>
      <c r="H29" s="1">
        <f t="shared" si="8"/>
        <v>0</v>
      </c>
      <c r="I29" s="1" t="str">
        <f t="shared" si="4"/>
        <v/>
      </c>
    </row>
    <row r="30" ht="14.25" customHeight="1">
      <c r="A30" s="1">
        <f t="shared" si="5"/>
        <v>64</v>
      </c>
      <c r="B30" s="12">
        <f t="shared" si="6"/>
        <v>20934420.6</v>
      </c>
      <c r="C30" s="12">
        <f t="shared" si="1"/>
        <v>1107809.248</v>
      </c>
      <c r="E30" s="12">
        <f t="shared" si="7"/>
        <v>0</v>
      </c>
      <c r="F30" s="12">
        <f t="shared" si="2"/>
        <v>21553701.05</v>
      </c>
      <c r="G30" s="1" t="str">
        <f t="shared" si="3"/>
        <v>Retired</v>
      </c>
      <c r="H30" s="1">
        <f t="shared" si="8"/>
        <v>0</v>
      </c>
      <c r="I30" s="1" t="str">
        <f t="shared" si="4"/>
        <v/>
      </c>
    </row>
    <row r="31" ht="14.25" customHeight="1">
      <c r="A31" s="1">
        <f t="shared" si="5"/>
        <v>65</v>
      </c>
      <c r="B31" s="12">
        <f t="shared" si="6"/>
        <v>21553701.05</v>
      </c>
      <c r="C31" s="12">
        <f t="shared" si="1"/>
        <v>1207512.08</v>
      </c>
      <c r="E31" s="12">
        <f t="shared" si="7"/>
        <v>0</v>
      </c>
      <c r="F31" s="12">
        <f t="shared" si="2"/>
        <v>22124369.31</v>
      </c>
      <c r="G31" s="1" t="str">
        <f t="shared" si="3"/>
        <v>Retired</v>
      </c>
      <c r="H31" s="1">
        <f t="shared" si="8"/>
        <v>0</v>
      </c>
      <c r="I31" s="1" t="str">
        <f t="shared" si="4"/>
        <v/>
      </c>
    </row>
    <row r="32" ht="14.25" customHeight="1">
      <c r="A32" s="1">
        <f t="shared" si="5"/>
        <v>66</v>
      </c>
      <c r="B32" s="12">
        <f t="shared" si="6"/>
        <v>22124369.31</v>
      </c>
      <c r="C32" s="12">
        <f t="shared" si="1"/>
        <v>1316188.167</v>
      </c>
      <c r="E32" s="12">
        <f t="shared" si="7"/>
        <v>0</v>
      </c>
      <c r="F32" s="12">
        <f t="shared" si="2"/>
        <v>22633441.61</v>
      </c>
      <c r="G32" s="1" t="str">
        <f t="shared" si="3"/>
        <v>Retired</v>
      </c>
      <c r="H32" s="1">
        <f t="shared" si="8"/>
        <v>0</v>
      </c>
      <c r="I32" s="1" t="str">
        <f t="shared" si="4"/>
        <v/>
      </c>
    </row>
    <row r="33" ht="14.25" customHeight="1">
      <c r="A33" s="1">
        <f t="shared" si="5"/>
        <v>67</v>
      </c>
      <c r="B33" s="12">
        <f t="shared" si="6"/>
        <v>22633441.61</v>
      </c>
      <c r="C33" s="12">
        <f t="shared" si="1"/>
        <v>1434645.102</v>
      </c>
      <c r="E33" s="12">
        <f t="shared" si="7"/>
        <v>0</v>
      </c>
      <c r="F33" s="12">
        <f t="shared" si="2"/>
        <v>23066055.44</v>
      </c>
      <c r="G33" s="1" t="str">
        <f t="shared" si="3"/>
        <v>Retired</v>
      </c>
      <c r="H33" s="1">
        <f t="shared" si="8"/>
        <v>0</v>
      </c>
      <c r="I33" s="1" t="str">
        <f t="shared" si="4"/>
        <v/>
      </c>
    </row>
    <row r="34" ht="14.25" customHeight="1">
      <c r="A34" s="1">
        <f t="shared" si="5"/>
        <v>68</v>
      </c>
      <c r="B34" s="12">
        <f t="shared" si="6"/>
        <v>23066055.44</v>
      </c>
      <c r="C34" s="12">
        <f t="shared" si="1"/>
        <v>1563763.161</v>
      </c>
      <c r="E34" s="12">
        <f t="shared" si="7"/>
        <v>0</v>
      </c>
      <c r="F34" s="12">
        <f t="shared" si="2"/>
        <v>23405241.85</v>
      </c>
      <c r="G34" s="1" t="str">
        <f t="shared" si="3"/>
        <v>Retired</v>
      </c>
      <c r="H34" s="1">
        <f t="shared" si="8"/>
        <v>0</v>
      </c>
      <c r="I34" s="1" t="str">
        <f t="shared" si="4"/>
        <v/>
      </c>
    </row>
    <row r="35" ht="14.25" customHeight="1">
      <c r="A35" s="1">
        <f t="shared" si="5"/>
        <v>69</v>
      </c>
      <c r="B35" s="12">
        <f t="shared" si="6"/>
        <v>23405241.85</v>
      </c>
      <c r="C35" s="12">
        <f t="shared" si="1"/>
        <v>1704501.846</v>
      </c>
      <c r="E35" s="12">
        <f t="shared" si="7"/>
        <v>0</v>
      </c>
      <c r="F35" s="12">
        <f t="shared" si="2"/>
        <v>23631672.46</v>
      </c>
      <c r="G35" s="1" t="str">
        <f t="shared" si="3"/>
        <v>Retired</v>
      </c>
      <c r="H35" s="1">
        <f t="shared" si="8"/>
        <v>0</v>
      </c>
      <c r="I35" s="1" t="str">
        <f t="shared" si="4"/>
        <v/>
      </c>
    </row>
    <row r="36" ht="14.25" customHeight="1">
      <c r="A36" s="1">
        <f t="shared" si="5"/>
        <v>70</v>
      </c>
      <c r="B36" s="12">
        <f t="shared" si="6"/>
        <v>23631672.46</v>
      </c>
      <c r="C36" s="12">
        <f t="shared" si="1"/>
        <v>1857907.012</v>
      </c>
      <c r="E36" s="12">
        <f t="shared" si="7"/>
        <v>0</v>
      </c>
      <c r="F36" s="12">
        <f t="shared" si="2"/>
        <v>23723378.42</v>
      </c>
      <c r="G36" s="1" t="str">
        <f t="shared" si="3"/>
        <v>Retired</v>
      </c>
      <c r="H36" s="1">
        <f t="shared" si="8"/>
        <v>0</v>
      </c>
      <c r="I36" s="1" t="str">
        <f t="shared" si="4"/>
        <v/>
      </c>
    </row>
    <row r="37" ht="14.25" customHeight="1">
      <c r="A37" s="1">
        <f t="shared" si="5"/>
        <v>71</v>
      </c>
      <c r="B37" s="12">
        <f t="shared" si="6"/>
        <v>23723378.42</v>
      </c>
      <c r="C37" s="12">
        <f t="shared" si="1"/>
        <v>2025118.643</v>
      </c>
      <c r="E37" s="12">
        <f t="shared" si="7"/>
        <v>0</v>
      </c>
      <c r="F37" s="12">
        <f t="shared" si="2"/>
        <v>23655438.5</v>
      </c>
      <c r="G37" s="1" t="str">
        <f t="shared" si="3"/>
        <v>Retired</v>
      </c>
      <c r="H37" s="1">
        <f t="shared" si="8"/>
        <v>0</v>
      </c>
      <c r="I37" s="1" t="str">
        <f t="shared" si="4"/>
        <v/>
      </c>
    </row>
    <row r="38" ht="14.25" customHeight="1">
      <c r="A38" s="1">
        <f t="shared" si="5"/>
        <v>72</v>
      </c>
      <c r="B38" s="12">
        <f t="shared" si="6"/>
        <v>23655438.5</v>
      </c>
      <c r="C38" s="12">
        <f t="shared" si="1"/>
        <v>2207379.321</v>
      </c>
      <c r="E38" s="12">
        <f t="shared" si="7"/>
        <v>0</v>
      </c>
      <c r="F38" s="12">
        <f t="shared" si="2"/>
        <v>23399632.86</v>
      </c>
      <c r="G38" s="1" t="str">
        <f t="shared" si="3"/>
        <v>Retired</v>
      </c>
      <c r="H38" s="1">
        <f t="shared" si="8"/>
        <v>0</v>
      </c>
      <c r="I38" s="1" t="str">
        <f t="shared" si="4"/>
        <v/>
      </c>
    </row>
    <row r="39" ht="14.25" customHeight="1">
      <c r="A39" s="1">
        <f t="shared" si="5"/>
        <v>73</v>
      </c>
      <c r="B39" s="12">
        <f t="shared" si="6"/>
        <v>23399632.86</v>
      </c>
      <c r="C39" s="12">
        <f t="shared" si="1"/>
        <v>2406043.46</v>
      </c>
      <c r="E39" s="12">
        <f t="shared" si="7"/>
        <v>0</v>
      </c>
      <c r="F39" s="12">
        <f t="shared" si="2"/>
        <v>22924059.11</v>
      </c>
      <c r="G39" s="1" t="str">
        <f t="shared" si="3"/>
        <v>Retired</v>
      </c>
      <c r="H39" s="1">
        <f t="shared" si="8"/>
        <v>0</v>
      </c>
      <c r="I39" s="1" t="str">
        <f t="shared" si="4"/>
        <v/>
      </c>
    </row>
    <row r="40" ht="14.25" customHeight="1">
      <c r="A40" s="1">
        <f t="shared" si="5"/>
        <v>74</v>
      </c>
      <c r="B40" s="12">
        <f t="shared" si="6"/>
        <v>22924059.11</v>
      </c>
      <c r="C40" s="12">
        <f t="shared" si="1"/>
        <v>2622587.371</v>
      </c>
      <c r="E40" s="12">
        <f t="shared" si="7"/>
        <v>0</v>
      </c>
      <c r="F40" s="12">
        <f t="shared" si="2"/>
        <v>22192706.61</v>
      </c>
      <c r="G40" s="1" t="str">
        <f t="shared" si="3"/>
        <v>Retired</v>
      </c>
      <c r="H40" s="1">
        <f t="shared" si="8"/>
        <v>0</v>
      </c>
      <c r="I40" s="1" t="str">
        <f t="shared" si="4"/>
        <v/>
      </c>
    </row>
    <row r="41" ht="14.25" customHeight="1">
      <c r="A41" s="1">
        <f t="shared" si="5"/>
        <v>75</v>
      </c>
      <c r="B41" s="12">
        <f t="shared" si="6"/>
        <v>22192706.61</v>
      </c>
      <c r="C41" s="12">
        <f t="shared" si="1"/>
        <v>2858620.234</v>
      </c>
      <c r="E41" s="12">
        <f t="shared" si="7"/>
        <v>0</v>
      </c>
      <c r="F41" s="12">
        <f t="shared" si="2"/>
        <v>21164984.67</v>
      </c>
      <c r="G41" s="1" t="str">
        <f t="shared" si="3"/>
        <v>Retired</v>
      </c>
      <c r="H41" s="1">
        <f t="shared" si="8"/>
        <v>0</v>
      </c>
      <c r="I41" s="1" t="str">
        <f t="shared" si="4"/>
        <v/>
      </c>
    </row>
    <row r="42" ht="14.25" customHeight="1">
      <c r="A42" s="1">
        <f t="shared" si="5"/>
        <v>76</v>
      </c>
      <c r="B42" s="12">
        <f t="shared" si="6"/>
        <v>21164984.67</v>
      </c>
      <c r="C42" s="12">
        <f t="shared" si="1"/>
        <v>3115896.055</v>
      </c>
      <c r="E42" s="12">
        <f t="shared" si="7"/>
        <v>0</v>
      </c>
      <c r="F42" s="12">
        <f t="shared" si="2"/>
        <v>19795199.85</v>
      </c>
      <c r="G42" s="1" t="str">
        <f t="shared" si="3"/>
        <v>Retired</v>
      </c>
      <c r="H42" s="1">
        <f t="shared" si="8"/>
        <v>0</v>
      </c>
      <c r="I42" s="1" t="str">
        <f t="shared" si="4"/>
        <v/>
      </c>
    </row>
    <row r="43" ht="14.25" customHeight="1">
      <c r="A43" s="1">
        <f t="shared" si="5"/>
        <v>77</v>
      </c>
      <c r="B43" s="12">
        <f t="shared" si="6"/>
        <v>19795199.85</v>
      </c>
      <c r="C43" s="12">
        <f t="shared" si="1"/>
        <v>3396326.7</v>
      </c>
      <c r="E43" s="12">
        <f t="shared" si="7"/>
        <v>0</v>
      </c>
      <c r="F43" s="12">
        <f t="shared" si="2"/>
        <v>18031977.14</v>
      </c>
      <c r="G43" s="1" t="str">
        <f t="shared" si="3"/>
        <v>Retired</v>
      </c>
      <c r="H43" s="1">
        <f t="shared" si="8"/>
        <v>0</v>
      </c>
      <c r="I43" s="1" t="str">
        <f t="shared" si="4"/>
        <v/>
      </c>
    </row>
    <row r="44" ht="14.25" customHeight="1">
      <c r="A44" s="1">
        <f t="shared" si="5"/>
        <v>78</v>
      </c>
      <c r="B44" s="12">
        <f t="shared" si="6"/>
        <v>18031977.14</v>
      </c>
      <c r="C44" s="12">
        <f t="shared" si="1"/>
        <v>3701996.103</v>
      </c>
      <c r="E44" s="12">
        <f t="shared" si="7"/>
        <v>0</v>
      </c>
      <c r="F44" s="12">
        <f t="shared" si="2"/>
        <v>15817619.15</v>
      </c>
      <c r="G44" s="1" t="str">
        <f t="shared" si="3"/>
        <v>Retired</v>
      </c>
      <c r="H44" s="1">
        <f t="shared" si="8"/>
        <v>0</v>
      </c>
      <c r="I44" s="1" t="str">
        <f t="shared" si="4"/>
        <v/>
      </c>
    </row>
    <row r="45" ht="14.25" customHeight="1">
      <c r="A45" s="1">
        <f t="shared" si="5"/>
        <v>79</v>
      </c>
      <c r="B45" s="12">
        <f t="shared" si="6"/>
        <v>15817619.15</v>
      </c>
      <c r="C45" s="12">
        <f t="shared" si="1"/>
        <v>4035175.753</v>
      </c>
      <c r="E45" s="12">
        <f t="shared" si="7"/>
        <v>0</v>
      </c>
      <c r="F45" s="12">
        <f t="shared" si="2"/>
        <v>13087396.98</v>
      </c>
      <c r="G45" s="1" t="str">
        <f t="shared" si="3"/>
        <v>Retired</v>
      </c>
      <c r="H45" s="1">
        <f t="shared" si="8"/>
        <v>0</v>
      </c>
      <c r="I45" s="1" t="str">
        <f t="shared" si="4"/>
        <v/>
      </c>
    </row>
    <row r="46" ht="14.25" customHeight="1">
      <c r="A46" s="1">
        <f t="shared" si="5"/>
        <v>80</v>
      </c>
      <c r="B46" s="12">
        <f t="shared" si="6"/>
        <v>13087396.98</v>
      </c>
      <c r="C46" s="12">
        <f t="shared" si="1"/>
        <v>4398341.571</v>
      </c>
      <c r="E46" s="12">
        <f t="shared" si="7"/>
        <v>0</v>
      </c>
      <c r="F46" s="12">
        <f t="shared" si="2"/>
        <v>9768765.657</v>
      </c>
      <c r="G46" s="1" t="str">
        <f t="shared" si="3"/>
        <v>Retired</v>
      </c>
      <c r="H46" s="1">
        <f t="shared" si="8"/>
        <v>0</v>
      </c>
      <c r="I46" s="1" t="str">
        <f t="shared" si="4"/>
        <v/>
      </c>
    </row>
    <row r="47" ht="14.25" customHeight="1">
      <c r="A47" s="1">
        <f t="shared" si="5"/>
        <v>81</v>
      </c>
      <c r="B47" s="12">
        <f t="shared" si="6"/>
        <v>9768765.657</v>
      </c>
      <c r="C47" s="12">
        <f t="shared" si="1"/>
        <v>4794192.312</v>
      </c>
      <c r="E47" s="12">
        <f t="shared" si="7"/>
        <v>0</v>
      </c>
      <c r="F47" s="12">
        <f t="shared" si="2"/>
        <v>5780496.512</v>
      </c>
      <c r="G47" s="1" t="str">
        <f t="shared" si="3"/>
        <v>Retired</v>
      </c>
      <c r="H47" s="1">
        <f t="shared" si="8"/>
        <v>0</v>
      </c>
      <c r="I47" s="1" t="str">
        <f t="shared" si="4"/>
        <v/>
      </c>
    </row>
    <row r="48" ht="14.25" customHeight="1">
      <c r="A48" s="1">
        <f t="shared" si="5"/>
        <v>82</v>
      </c>
      <c r="B48" s="12">
        <f t="shared" si="6"/>
        <v>5780496.512</v>
      </c>
      <c r="C48" s="12">
        <f t="shared" si="1"/>
        <v>5225669.62</v>
      </c>
      <c r="E48" s="12">
        <f t="shared" si="7"/>
        <v>0</v>
      </c>
      <c r="F48" s="12">
        <f t="shared" si="2"/>
        <v>1031717.855</v>
      </c>
      <c r="G48" s="1" t="str">
        <f t="shared" si="3"/>
        <v>Retired</v>
      </c>
      <c r="H48" s="1">
        <f t="shared" si="8"/>
        <v>0</v>
      </c>
      <c r="I48" s="1" t="str">
        <f t="shared" si="4"/>
        <v/>
      </c>
    </row>
    <row r="49" ht="14.25" customHeight="1">
      <c r="A49" s="1">
        <f t="shared" si="5"/>
        <v>83</v>
      </c>
      <c r="B49" s="12">
        <f t="shared" si="6"/>
        <v>1031717.855</v>
      </c>
      <c r="C49" s="12">
        <f t="shared" si="1"/>
        <v>5695979.886</v>
      </c>
      <c r="E49" s="12">
        <f t="shared" si="7"/>
        <v>0</v>
      </c>
      <c r="F49" s="12">
        <f t="shared" si="2"/>
        <v>-4579145.308</v>
      </c>
      <c r="G49" s="1" t="str">
        <f t="shared" si="3"/>
        <v>Retired</v>
      </c>
      <c r="H49" s="1">
        <f t="shared" si="8"/>
        <v>0</v>
      </c>
      <c r="I49" s="1" t="str">
        <f t="shared" si="4"/>
        <v>You have run out of money</v>
      </c>
    </row>
    <row r="50" ht="14.25" customHeight="1">
      <c r="A50" s="1">
        <f t="shared" si="5"/>
        <v>84</v>
      </c>
      <c r="B50" s="12">
        <f t="shared" si="6"/>
        <v>-4579145.308</v>
      </c>
      <c r="C50" s="12">
        <f t="shared" si="1"/>
        <v>6208618.075</v>
      </c>
      <c r="E50" s="12">
        <f t="shared" si="7"/>
        <v>0</v>
      </c>
      <c r="F50" s="12">
        <f t="shared" si="2"/>
        <v>-11165542.87</v>
      </c>
      <c r="G50" s="1" t="str">
        <f t="shared" si="3"/>
        <v>Retired</v>
      </c>
      <c r="H50" s="1">
        <f t="shared" si="8"/>
        <v>0</v>
      </c>
      <c r="I50" s="1" t="str">
        <f t="shared" si="4"/>
        <v>You have run out of money</v>
      </c>
    </row>
    <row r="51" ht="14.25" customHeight="1">
      <c r="A51" s="1">
        <f t="shared" si="5"/>
        <v>85</v>
      </c>
      <c r="B51" s="12">
        <f t="shared" si="6"/>
        <v>-11165542.87</v>
      </c>
      <c r="C51" s="12">
        <f t="shared" si="1"/>
        <v>0</v>
      </c>
      <c r="E51" s="12">
        <f t="shared" si="7"/>
        <v>0</v>
      </c>
      <c r="F51" s="12">
        <f t="shared" si="2"/>
        <v>0</v>
      </c>
      <c r="G51" s="1" t="str">
        <f t="shared" si="3"/>
        <v>Dead</v>
      </c>
      <c r="H51" s="1">
        <f t="shared" si="8"/>
        <v>0</v>
      </c>
      <c r="I51" s="1" t="str">
        <f t="shared" si="4"/>
        <v/>
      </c>
    </row>
    <row r="52" ht="14.25" customHeight="1">
      <c r="A52" s="1">
        <f t="shared" si="5"/>
        <v>86</v>
      </c>
      <c r="B52" s="12">
        <f t="shared" si="6"/>
        <v>0</v>
      </c>
      <c r="C52" s="12">
        <f t="shared" si="1"/>
        <v>0</v>
      </c>
      <c r="E52" s="12">
        <f t="shared" si="7"/>
        <v>0</v>
      </c>
      <c r="F52" s="12">
        <f t="shared" si="2"/>
        <v>0</v>
      </c>
      <c r="G52" s="1" t="str">
        <f t="shared" si="3"/>
        <v>Dead</v>
      </c>
      <c r="H52" s="1">
        <f t="shared" si="8"/>
        <v>0</v>
      </c>
      <c r="I52" s="1" t="str">
        <f t="shared" si="4"/>
        <v/>
      </c>
    </row>
    <row r="53" ht="14.25" customHeight="1">
      <c r="A53" s="1">
        <f t="shared" si="5"/>
        <v>87</v>
      </c>
      <c r="B53" s="12">
        <f t="shared" si="6"/>
        <v>0</v>
      </c>
      <c r="C53" s="12">
        <f t="shared" si="1"/>
        <v>0</v>
      </c>
      <c r="E53" s="12">
        <f t="shared" si="7"/>
        <v>0</v>
      </c>
      <c r="F53" s="12">
        <f t="shared" si="2"/>
        <v>0</v>
      </c>
      <c r="G53" s="1" t="str">
        <f t="shared" si="3"/>
        <v>Dead</v>
      </c>
      <c r="H53" s="1">
        <f t="shared" si="8"/>
        <v>0</v>
      </c>
      <c r="I53" s="1" t="str">
        <f t="shared" si="4"/>
        <v/>
      </c>
    </row>
    <row r="54" ht="14.25" customHeight="1">
      <c r="A54" s="1">
        <f t="shared" si="5"/>
        <v>88</v>
      </c>
      <c r="B54" s="12">
        <f t="shared" si="6"/>
        <v>0</v>
      </c>
      <c r="C54" s="12">
        <f t="shared" si="1"/>
        <v>0</v>
      </c>
      <c r="E54" s="12">
        <f t="shared" si="7"/>
        <v>0</v>
      </c>
      <c r="F54" s="12">
        <f t="shared" si="2"/>
        <v>0</v>
      </c>
      <c r="G54" s="1" t="str">
        <f t="shared" si="3"/>
        <v>Dead</v>
      </c>
      <c r="H54" s="1">
        <f t="shared" si="8"/>
        <v>0</v>
      </c>
      <c r="I54" s="1" t="str">
        <f t="shared" si="4"/>
        <v/>
      </c>
    </row>
    <row r="55" ht="14.25" customHeight="1">
      <c r="A55" s="1">
        <f t="shared" si="5"/>
        <v>89</v>
      </c>
      <c r="B55" s="12">
        <f t="shared" si="6"/>
        <v>0</v>
      </c>
      <c r="C55" s="12">
        <f t="shared" si="1"/>
        <v>0</v>
      </c>
      <c r="E55" s="12">
        <f t="shared" si="7"/>
        <v>0</v>
      </c>
      <c r="F55" s="12">
        <f t="shared" si="2"/>
        <v>0</v>
      </c>
      <c r="G55" s="1" t="str">
        <f t="shared" si="3"/>
        <v>Dead</v>
      </c>
      <c r="H55" s="1">
        <f t="shared" si="8"/>
        <v>0</v>
      </c>
      <c r="I55" s="1" t="str">
        <f t="shared" si="4"/>
        <v/>
      </c>
    </row>
    <row r="56" ht="14.25" customHeight="1">
      <c r="A56" s="1">
        <f t="shared" si="5"/>
        <v>90</v>
      </c>
      <c r="B56" s="12">
        <f t="shared" si="6"/>
        <v>0</v>
      </c>
      <c r="C56" s="12">
        <f t="shared" si="1"/>
        <v>0</v>
      </c>
      <c r="E56" s="12">
        <f t="shared" si="7"/>
        <v>0</v>
      </c>
      <c r="F56" s="12">
        <f t="shared" si="2"/>
        <v>0</v>
      </c>
      <c r="G56" s="1" t="str">
        <f t="shared" si="3"/>
        <v>Dead</v>
      </c>
      <c r="H56" s="1">
        <f t="shared" si="8"/>
        <v>0</v>
      </c>
      <c r="I56" s="1" t="str">
        <f t="shared" si="4"/>
        <v/>
      </c>
    </row>
    <row r="57" ht="14.25" customHeight="1">
      <c r="A57" s="1">
        <f t="shared" si="5"/>
        <v>91</v>
      </c>
      <c r="B57" s="12">
        <f t="shared" si="6"/>
        <v>0</v>
      </c>
      <c r="C57" s="12">
        <f t="shared" si="1"/>
        <v>0</v>
      </c>
      <c r="E57" s="12">
        <f t="shared" si="7"/>
        <v>0</v>
      </c>
      <c r="F57" s="12">
        <f t="shared" si="2"/>
        <v>0</v>
      </c>
      <c r="G57" s="1" t="str">
        <f t="shared" si="3"/>
        <v>Dead</v>
      </c>
      <c r="H57" s="1">
        <f t="shared" si="8"/>
        <v>0</v>
      </c>
      <c r="I57" s="1" t="str">
        <f t="shared" si="4"/>
        <v/>
      </c>
    </row>
    <row r="58" ht="14.25" customHeight="1">
      <c r="A58" s="1">
        <f t="shared" si="5"/>
        <v>92</v>
      </c>
      <c r="B58" s="12">
        <f t="shared" si="6"/>
        <v>0</v>
      </c>
      <c r="C58" s="12">
        <f t="shared" si="1"/>
        <v>0</v>
      </c>
      <c r="E58" s="12">
        <f t="shared" si="7"/>
        <v>0</v>
      </c>
      <c r="F58" s="12">
        <f t="shared" si="2"/>
        <v>0</v>
      </c>
      <c r="G58" s="1" t="str">
        <f t="shared" si="3"/>
        <v>Dead</v>
      </c>
      <c r="H58" s="1">
        <f t="shared" si="8"/>
        <v>0</v>
      </c>
      <c r="I58" s="1" t="str">
        <f t="shared" si="4"/>
        <v/>
      </c>
    </row>
    <row r="59" ht="14.25" customHeight="1">
      <c r="A59" s="1">
        <f t="shared" si="5"/>
        <v>93</v>
      </c>
      <c r="B59" s="12">
        <f t="shared" si="6"/>
        <v>0</v>
      </c>
      <c r="C59" s="12">
        <f t="shared" si="1"/>
        <v>0</v>
      </c>
      <c r="E59" s="12">
        <f t="shared" si="7"/>
        <v>0</v>
      </c>
      <c r="F59" s="12">
        <f t="shared" si="2"/>
        <v>0</v>
      </c>
      <c r="G59" s="1" t="str">
        <f t="shared" si="3"/>
        <v>Dead</v>
      </c>
      <c r="H59" s="1">
        <f t="shared" si="8"/>
        <v>0</v>
      </c>
      <c r="I59" s="1" t="str">
        <f t="shared" si="4"/>
        <v/>
      </c>
    </row>
    <row r="60" ht="14.25" customHeight="1">
      <c r="A60" s="1">
        <f t="shared" si="5"/>
        <v>94</v>
      </c>
      <c r="B60" s="12">
        <f t="shared" si="6"/>
        <v>0</v>
      </c>
      <c r="C60" s="12">
        <f t="shared" si="1"/>
        <v>0</v>
      </c>
      <c r="E60" s="12">
        <f t="shared" si="7"/>
        <v>0</v>
      </c>
      <c r="F60" s="12">
        <f t="shared" si="2"/>
        <v>0</v>
      </c>
      <c r="G60" s="1" t="str">
        <f t="shared" si="3"/>
        <v>Dead</v>
      </c>
      <c r="H60" s="1">
        <f t="shared" si="8"/>
        <v>0</v>
      </c>
      <c r="I60" s="1" t="str">
        <f t="shared" si="4"/>
        <v/>
      </c>
    </row>
    <row r="61" ht="14.25" customHeight="1">
      <c r="A61" s="1">
        <f t="shared" si="5"/>
        <v>95</v>
      </c>
      <c r="B61" s="12">
        <f t="shared" si="6"/>
        <v>0</v>
      </c>
      <c r="C61" s="12">
        <f t="shared" si="1"/>
        <v>0</v>
      </c>
      <c r="E61" s="12">
        <f t="shared" si="7"/>
        <v>0</v>
      </c>
      <c r="F61" s="12">
        <f t="shared" si="2"/>
        <v>0</v>
      </c>
      <c r="G61" s="1" t="str">
        <f t="shared" si="3"/>
        <v>Dead</v>
      </c>
      <c r="H61" s="1">
        <f t="shared" si="8"/>
        <v>0</v>
      </c>
      <c r="I61" s="1" t="str">
        <f t="shared" si="4"/>
        <v/>
      </c>
    </row>
    <row r="62" ht="14.25" customHeight="1">
      <c r="A62" s="1">
        <f t="shared" si="5"/>
        <v>96</v>
      </c>
      <c r="B62" s="12">
        <f t="shared" si="6"/>
        <v>0</v>
      </c>
      <c r="C62" s="12">
        <f t="shared" si="1"/>
        <v>0</v>
      </c>
      <c r="E62" s="12">
        <f t="shared" si="7"/>
        <v>0</v>
      </c>
      <c r="F62" s="12">
        <f t="shared" si="2"/>
        <v>0</v>
      </c>
      <c r="G62" s="1" t="str">
        <f t="shared" si="3"/>
        <v>Dead</v>
      </c>
      <c r="H62" s="1">
        <f t="shared" si="8"/>
        <v>0</v>
      </c>
      <c r="I62" s="1" t="str">
        <f t="shared" si="4"/>
        <v/>
      </c>
    </row>
    <row r="63" ht="14.25" customHeight="1">
      <c r="A63" s="1">
        <f t="shared" si="5"/>
        <v>97</v>
      </c>
      <c r="B63" s="12">
        <f t="shared" si="6"/>
        <v>0</v>
      </c>
      <c r="C63" s="12">
        <f t="shared" si="1"/>
        <v>0</v>
      </c>
      <c r="E63" s="12">
        <f t="shared" si="7"/>
        <v>0</v>
      </c>
      <c r="F63" s="12">
        <f t="shared" si="2"/>
        <v>0</v>
      </c>
      <c r="G63" s="1" t="str">
        <f t="shared" si="3"/>
        <v>Dead</v>
      </c>
      <c r="H63" s="1">
        <f t="shared" si="8"/>
        <v>0</v>
      </c>
      <c r="I63" s="1" t="str">
        <f t="shared" si="4"/>
        <v/>
      </c>
    </row>
    <row r="64" ht="14.25" customHeight="1">
      <c r="A64" s="1">
        <f t="shared" si="5"/>
        <v>98</v>
      </c>
      <c r="B64" s="12">
        <f t="shared" si="6"/>
        <v>0</v>
      </c>
      <c r="C64" s="12">
        <f t="shared" si="1"/>
        <v>0</v>
      </c>
      <c r="E64" s="12">
        <f t="shared" si="7"/>
        <v>0</v>
      </c>
      <c r="F64" s="12">
        <f t="shared" si="2"/>
        <v>0</v>
      </c>
      <c r="G64" s="1" t="str">
        <f t="shared" si="3"/>
        <v>Dead</v>
      </c>
      <c r="H64" s="1">
        <f t="shared" si="8"/>
        <v>0</v>
      </c>
      <c r="I64" s="1" t="str">
        <f t="shared" si="4"/>
        <v/>
      </c>
    </row>
    <row r="65" ht="14.25" customHeight="1">
      <c r="A65" s="1">
        <f t="shared" si="5"/>
        <v>99</v>
      </c>
      <c r="B65" s="12">
        <f t="shared" si="6"/>
        <v>0</v>
      </c>
      <c r="C65" s="12">
        <f t="shared" si="1"/>
        <v>0</v>
      </c>
      <c r="E65" s="12">
        <f t="shared" si="7"/>
        <v>0</v>
      </c>
      <c r="F65" s="12">
        <f t="shared" si="2"/>
        <v>0</v>
      </c>
      <c r="G65" s="1" t="str">
        <f t="shared" si="3"/>
        <v>Dead</v>
      </c>
      <c r="H65" s="1">
        <f t="shared" si="8"/>
        <v>0</v>
      </c>
      <c r="I65" s="1" t="str">
        <f t="shared" si="4"/>
        <v/>
      </c>
    </row>
    <row r="66" ht="14.25" customHeight="1">
      <c r="A66" s="1">
        <f t="shared" si="5"/>
        <v>100</v>
      </c>
      <c r="B66" s="12">
        <f t="shared" si="6"/>
        <v>0</v>
      </c>
      <c r="C66" s="12">
        <f t="shared" si="1"/>
        <v>0</v>
      </c>
      <c r="E66" s="12">
        <f t="shared" si="7"/>
        <v>0</v>
      </c>
      <c r="F66" s="12">
        <f t="shared" si="2"/>
        <v>0</v>
      </c>
      <c r="G66" s="1" t="str">
        <f t="shared" si="3"/>
        <v>Dead</v>
      </c>
      <c r="H66" s="1">
        <f t="shared" si="8"/>
        <v>0</v>
      </c>
      <c r="I66" s="1" t="str">
        <f t="shared" si="4"/>
        <v/>
      </c>
    </row>
    <row r="67" ht="14.25" customHeight="1">
      <c r="A67" s="1">
        <f t="shared" si="5"/>
        <v>101</v>
      </c>
      <c r="B67" s="12">
        <f t="shared" si="6"/>
        <v>0</v>
      </c>
      <c r="C67" s="12">
        <f t="shared" si="1"/>
        <v>0</v>
      </c>
      <c r="E67" s="12">
        <f t="shared" si="7"/>
        <v>0</v>
      </c>
      <c r="F67" s="12">
        <f t="shared" si="2"/>
        <v>0</v>
      </c>
      <c r="G67" s="1" t="str">
        <f t="shared" si="3"/>
        <v>Dead</v>
      </c>
      <c r="H67" s="1">
        <f t="shared" si="8"/>
        <v>0</v>
      </c>
      <c r="I67" s="1" t="str">
        <f t="shared" si="4"/>
        <v/>
      </c>
    </row>
    <row r="68" ht="14.25" customHeight="1">
      <c r="A68" s="1">
        <f t="shared" si="5"/>
        <v>102</v>
      </c>
      <c r="B68" s="12">
        <f t="shared" si="6"/>
        <v>0</v>
      </c>
      <c r="C68" s="12">
        <f t="shared" si="1"/>
        <v>0</v>
      </c>
      <c r="E68" s="12">
        <f t="shared" si="7"/>
        <v>0</v>
      </c>
      <c r="F68" s="12">
        <f t="shared" si="2"/>
        <v>0</v>
      </c>
      <c r="G68" s="1" t="str">
        <f t="shared" si="3"/>
        <v>Dead</v>
      </c>
      <c r="H68" s="1">
        <f t="shared" si="8"/>
        <v>0</v>
      </c>
      <c r="I68" s="1" t="str">
        <f t="shared" si="4"/>
        <v/>
      </c>
    </row>
    <row r="69" ht="14.25" customHeight="1">
      <c r="A69" s="1">
        <f t="shared" si="5"/>
        <v>103</v>
      </c>
      <c r="B69" s="12">
        <f t="shared" si="6"/>
        <v>0</v>
      </c>
      <c r="C69" s="12">
        <f t="shared" si="1"/>
        <v>0</v>
      </c>
      <c r="E69" s="12">
        <f t="shared" si="7"/>
        <v>0</v>
      </c>
      <c r="F69" s="12">
        <f t="shared" si="2"/>
        <v>0</v>
      </c>
      <c r="G69" s="1" t="str">
        <f t="shared" si="3"/>
        <v>Dead</v>
      </c>
      <c r="H69" s="1">
        <f t="shared" si="8"/>
        <v>0</v>
      </c>
      <c r="I69" s="1" t="str">
        <f t="shared" si="4"/>
        <v/>
      </c>
    </row>
    <row r="70" ht="14.25" customHeight="1">
      <c r="A70" s="1">
        <f t="shared" si="5"/>
        <v>104</v>
      </c>
      <c r="B70" s="12">
        <f t="shared" si="6"/>
        <v>0</v>
      </c>
      <c r="C70" s="12">
        <f t="shared" si="1"/>
        <v>0</v>
      </c>
      <c r="E70" s="12">
        <f t="shared" si="7"/>
        <v>0</v>
      </c>
      <c r="F70" s="12">
        <f t="shared" si="2"/>
        <v>0</v>
      </c>
      <c r="G70" s="1" t="str">
        <f t="shared" si="3"/>
        <v>Dead</v>
      </c>
      <c r="H70" s="1">
        <f t="shared" si="8"/>
        <v>0</v>
      </c>
      <c r="I70" s="1" t="str">
        <f t="shared" si="4"/>
        <v/>
      </c>
    </row>
    <row r="71" ht="14.25" customHeight="1">
      <c r="A71" s="1">
        <f t="shared" si="5"/>
        <v>105</v>
      </c>
      <c r="B71" s="12">
        <f t="shared" si="6"/>
        <v>0</v>
      </c>
      <c r="C71" s="12">
        <f t="shared" si="1"/>
        <v>0</v>
      </c>
      <c r="E71" s="12">
        <f t="shared" si="7"/>
        <v>0</v>
      </c>
      <c r="F71" s="12">
        <f t="shared" si="2"/>
        <v>0</v>
      </c>
      <c r="G71" s="1" t="str">
        <f t="shared" si="3"/>
        <v>Dead</v>
      </c>
      <c r="H71" s="1">
        <f t="shared" si="8"/>
        <v>0</v>
      </c>
      <c r="I71" s="1" t="str">
        <f t="shared" si="4"/>
        <v/>
      </c>
    </row>
    <row r="72" ht="14.25" customHeight="1">
      <c r="A72" s="1">
        <f t="shared" si="5"/>
        <v>106</v>
      </c>
      <c r="B72" s="12">
        <f t="shared" si="6"/>
        <v>0</v>
      </c>
      <c r="C72" s="12">
        <f t="shared" si="1"/>
        <v>0</v>
      </c>
      <c r="E72" s="12">
        <f t="shared" si="7"/>
        <v>0</v>
      </c>
      <c r="F72" s="12">
        <f t="shared" si="2"/>
        <v>0</v>
      </c>
      <c r="G72" s="1" t="str">
        <f t="shared" si="3"/>
        <v>Dead</v>
      </c>
      <c r="H72" s="1">
        <f t="shared" si="8"/>
        <v>0</v>
      </c>
      <c r="I72" s="1" t="str">
        <f t="shared" si="4"/>
        <v/>
      </c>
    </row>
    <row r="73" ht="14.25" customHeight="1">
      <c r="A73" s="1">
        <f t="shared" si="5"/>
        <v>107</v>
      </c>
      <c r="B73" s="12">
        <f t="shared" si="6"/>
        <v>0</v>
      </c>
      <c r="C73" s="12">
        <f t="shared" si="1"/>
        <v>0</v>
      </c>
      <c r="E73" s="12">
        <f t="shared" si="7"/>
        <v>0</v>
      </c>
      <c r="F73" s="12">
        <f t="shared" si="2"/>
        <v>0</v>
      </c>
      <c r="G73" s="1" t="str">
        <f t="shared" si="3"/>
        <v>Dead</v>
      </c>
      <c r="H73" s="1">
        <f t="shared" si="8"/>
        <v>0</v>
      </c>
      <c r="I73" s="1" t="str">
        <f t="shared" si="4"/>
        <v/>
      </c>
    </row>
    <row r="74" ht="14.25" customHeight="1">
      <c r="A74" s="1">
        <f t="shared" si="5"/>
        <v>108</v>
      </c>
      <c r="B74" s="12">
        <f t="shared" si="6"/>
        <v>0</v>
      </c>
      <c r="C74" s="12">
        <f t="shared" si="1"/>
        <v>0</v>
      </c>
      <c r="E74" s="12">
        <f t="shared" si="7"/>
        <v>0</v>
      </c>
      <c r="F74" s="12">
        <f t="shared" si="2"/>
        <v>0</v>
      </c>
      <c r="G74" s="1" t="str">
        <f t="shared" si="3"/>
        <v>Dead</v>
      </c>
      <c r="H74" s="1">
        <f t="shared" si="8"/>
        <v>0</v>
      </c>
      <c r="I74" s="1" t="str">
        <f t="shared" si="4"/>
        <v/>
      </c>
    </row>
    <row r="75" ht="14.25" customHeight="1">
      <c r="A75" s="1">
        <f t="shared" si="5"/>
        <v>109</v>
      </c>
      <c r="B75" s="12">
        <f t="shared" si="6"/>
        <v>0</v>
      </c>
      <c r="C75" s="12">
        <f t="shared" si="1"/>
        <v>0</v>
      </c>
      <c r="E75" s="12">
        <f t="shared" si="7"/>
        <v>0</v>
      </c>
      <c r="F75" s="12">
        <f t="shared" si="2"/>
        <v>0</v>
      </c>
      <c r="G75" s="1" t="str">
        <f t="shared" si="3"/>
        <v>Dead</v>
      </c>
      <c r="H75" s="1">
        <f t="shared" si="8"/>
        <v>0</v>
      </c>
      <c r="I75" s="1" t="str">
        <f t="shared" si="4"/>
        <v/>
      </c>
    </row>
    <row r="76" ht="14.25" customHeight="1">
      <c r="A76" s="1">
        <f t="shared" si="5"/>
        <v>110</v>
      </c>
      <c r="B76" s="12">
        <f t="shared" si="6"/>
        <v>0</v>
      </c>
      <c r="C76" s="12">
        <f t="shared" si="1"/>
        <v>0</v>
      </c>
      <c r="E76" s="12">
        <f t="shared" si="7"/>
        <v>0</v>
      </c>
      <c r="F76" s="12">
        <f t="shared" si="2"/>
        <v>0</v>
      </c>
      <c r="G76" s="1" t="str">
        <f t="shared" si="3"/>
        <v>Dead</v>
      </c>
      <c r="H76" s="1">
        <f t="shared" si="8"/>
        <v>0</v>
      </c>
      <c r="I76" s="1" t="str">
        <f t="shared" si="4"/>
        <v/>
      </c>
    </row>
    <row r="77" ht="14.25" customHeight="1">
      <c r="A77" s="1">
        <f t="shared" si="5"/>
        <v>111</v>
      </c>
      <c r="B77" s="12">
        <f t="shared" si="6"/>
        <v>0</v>
      </c>
      <c r="C77" s="12">
        <f t="shared" si="1"/>
        <v>0</v>
      </c>
      <c r="E77" s="12">
        <f t="shared" si="7"/>
        <v>0</v>
      </c>
      <c r="F77" s="12">
        <f t="shared" si="2"/>
        <v>0</v>
      </c>
      <c r="G77" s="1" t="str">
        <f t="shared" si="3"/>
        <v>Dead</v>
      </c>
      <c r="H77" s="1">
        <f t="shared" si="8"/>
        <v>0</v>
      </c>
      <c r="I77" s="1" t="str">
        <f t="shared" si="4"/>
        <v/>
      </c>
    </row>
    <row r="78" ht="14.25" customHeight="1">
      <c r="A78" s="1">
        <f t="shared" si="5"/>
        <v>112</v>
      </c>
      <c r="B78" s="12">
        <f t="shared" si="6"/>
        <v>0</v>
      </c>
      <c r="C78" s="12">
        <f t="shared" si="1"/>
        <v>0</v>
      </c>
      <c r="E78" s="12">
        <f t="shared" si="7"/>
        <v>0</v>
      </c>
      <c r="F78" s="12">
        <f t="shared" si="2"/>
        <v>0</v>
      </c>
      <c r="G78" s="1" t="str">
        <f t="shared" si="3"/>
        <v>Dead</v>
      </c>
      <c r="H78" s="1">
        <f t="shared" si="8"/>
        <v>0</v>
      </c>
      <c r="I78" s="1" t="str">
        <f t="shared" si="4"/>
        <v/>
      </c>
    </row>
    <row r="79" ht="14.25" customHeight="1">
      <c r="A79" s="1">
        <f t="shared" si="5"/>
        <v>113</v>
      </c>
      <c r="B79" s="12">
        <f t="shared" si="6"/>
        <v>0</v>
      </c>
      <c r="C79" s="12">
        <f t="shared" si="1"/>
        <v>0</v>
      </c>
      <c r="E79" s="12">
        <f t="shared" si="7"/>
        <v>0</v>
      </c>
      <c r="F79" s="12">
        <f t="shared" si="2"/>
        <v>0</v>
      </c>
      <c r="G79" s="1" t="str">
        <f t="shared" si="3"/>
        <v>Dead</v>
      </c>
      <c r="H79" s="1">
        <f t="shared" si="8"/>
        <v>0</v>
      </c>
      <c r="I79" s="1" t="str">
        <f t="shared" si="4"/>
        <v/>
      </c>
    </row>
    <row r="80" ht="14.25" customHeight="1">
      <c r="A80" s="1">
        <f t="shared" si="5"/>
        <v>114</v>
      </c>
      <c r="B80" s="12">
        <f t="shared" si="6"/>
        <v>0</v>
      </c>
      <c r="C80" s="12">
        <f t="shared" si="1"/>
        <v>0</v>
      </c>
      <c r="E80" s="12">
        <f t="shared" si="7"/>
        <v>0</v>
      </c>
      <c r="F80" s="12">
        <f t="shared" si="2"/>
        <v>0</v>
      </c>
      <c r="G80" s="1" t="str">
        <f t="shared" si="3"/>
        <v>Dead</v>
      </c>
      <c r="H80" s="1">
        <f t="shared" si="8"/>
        <v>0</v>
      </c>
      <c r="I80" s="1" t="str">
        <f t="shared" si="4"/>
        <v/>
      </c>
    </row>
    <row r="81" ht="14.25" customHeight="1">
      <c r="A81" s="1">
        <f t="shared" si="5"/>
        <v>115</v>
      </c>
      <c r="B81" s="12">
        <f t="shared" si="6"/>
        <v>0</v>
      </c>
      <c r="C81" s="12">
        <f t="shared" si="1"/>
        <v>0</v>
      </c>
      <c r="E81" s="12">
        <f t="shared" si="7"/>
        <v>0</v>
      </c>
      <c r="F81" s="12">
        <f t="shared" si="2"/>
        <v>0</v>
      </c>
      <c r="G81" s="1" t="str">
        <f t="shared" si="3"/>
        <v>Dead</v>
      </c>
      <c r="H81" s="1">
        <f t="shared" si="8"/>
        <v>0</v>
      </c>
      <c r="I81" s="1" t="str">
        <f t="shared" si="4"/>
        <v/>
      </c>
      <c r="J81" s="13"/>
    </row>
    <row r="82" ht="14.25" customHeight="1">
      <c r="A82" s="1">
        <f t="shared" si="5"/>
        <v>116</v>
      </c>
      <c r="B82" s="12">
        <f t="shared" si="6"/>
        <v>0</v>
      </c>
      <c r="C82" s="12">
        <f t="shared" si="1"/>
        <v>0</v>
      </c>
      <c r="E82" s="12">
        <f t="shared" si="7"/>
        <v>0</v>
      </c>
      <c r="F82" s="12">
        <f t="shared" si="2"/>
        <v>0</v>
      </c>
      <c r="G82" s="1" t="str">
        <f t="shared" si="3"/>
        <v>Dead</v>
      </c>
      <c r="H82" s="1">
        <f t="shared" si="8"/>
        <v>0</v>
      </c>
      <c r="I82" s="1" t="str">
        <f t="shared" si="4"/>
        <v/>
      </c>
    </row>
    <row r="83" ht="14.25" customHeight="1">
      <c r="A83" s="1">
        <f t="shared" si="5"/>
        <v>117</v>
      </c>
      <c r="B83" s="12">
        <f t="shared" si="6"/>
        <v>0</v>
      </c>
      <c r="C83" s="12">
        <f t="shared" si="1"/>
        <v>0</v>
      </c>
      <c r="E83" s="12">
        <f t="shared" si="7"/>
        <v>0</v>
      </c>
      <c r="F83" s="12">
        <f t="shared" si="2"/>
        <v>0</v>
      </c>
      <c r="G83" s="1" t="str">
        <f t="shared" si="3"/>
        <v>Dead</v>
      </c>
      <c r="H83" s="1">
        <f t="shared" si="8"/>
        <v>0</v>
      </c>
      <c r="I83" s="1" t="str">
        <f t="shared" si="4"/>
        <v/>
      </c>
    </row>
    <row r="84" ht="14.25" customHeight="1">
      <c r="A84" s="1">
        <f t="shared" si="5"/>
        <v>118</v>
      </c>
      <c r="B84" s="12">
        <f t="shared" si="6"/>
        <v>0</v>
      </c>
      <c r="C84" s="12">
        <f t="shared" si="1"/>
        <v>0</v>
      </c>
      <c r="E84" s="12">
        <f t="shared" si="7"/>
        <v>0</v>
      </c>
      <c r="F84" s="12">
        <f t="shared" si="2"/>
        <v>0</v>
      </c>
      <c r="G84" s="1" t="str">
        <f t="shared" si="3"/>
        <v>Dead</v>
      </c>
      <c r="H84" s="1">
        <f t="shared" si="8"/>
        <v>0</v>
      </c>
      <c r="I84" s="1" t="str">
        <f t="shared" si="4"/>
        <v/>
      </c>
    </row>
    <row r="85" ht="14.25" customHeight="1">
      <c r="A85" s="1">
        <f t="shared" si="5"/>
        <v>119</v>
      </c>
      <c r="B85" s="12">
        <f t="shared" si="6"/>
        <v>0</v>
      </c>
      <c r="C85" s="12">
        <f t="shared" si="1"/>
        <v>0</v>
      </c>
      <c r="E85" s="12">
        <f t="shared" si="7"/>
        <v>0</v>
      </c>
      <c r="F85" s="12">
        <f t="shared" si="2"/>
        <v>0</v>
      </c>
      <c r="G85" s="1" t="str">
        <f t="shared" si="3"/>
        <v>Dead</v>
      </c>
      <c r="H85" s="1">
        <f t="shared" si="8"/>
        <v>0</v>
      </c>
      <c r="I85" s="1" t="str">
        <f t="shared" si="4"/>
        <v/>
      </c>
    </row>
    <row r="86" ht="14.25" customHeight="1">
      <c r="A86" s="1">
        <f t="shared" si="5"/>
        <v>120</v>
      </c>
      <c r="B86" s="12">
        <f t="shared" si="6"/>
        <v>0</v>
      </c>
      <c r="C86" s="12">
        <f t="shared" si="1"/>
        <v>0</v>
      </c>
      <c r="E86" s="12">
        <f t="shared" si="7"/>
        <v>0</v>
      </c>
      <c r="F86" s="12">
        <f t="shared" si="2"/>
        <v>0</v>
      </c>
      <c r="G86" s="1" t="str">
        <f t="shared" si="3"/>
        <v>Dead</v>
      </c>
      <c r="H86" s="1">
        <f t="shared" si="8"/>
        <v>0</v>
      </c>
      <c r="I86" s="1" t="str">
        <f t="shared" si="4"/>
        <v/>
      </c>
    </row>
    <row r="87" ht="14.25" customHeight="1">
      <c r="A87" s="1">
        <f t="shared" si="5"/>
        <v>121</v>
      </c>
      <c r="B87" s="12">
        <f t="shared" si="6"/>
        <v>0</v>
      </c>
      <c r="C87" s="12">
        <f t="shared" si="1"/>
        <v>0</v>
      </c>
      <c r="E87" s="12">
        <f t="shared" si="7"/>
        <v>0</v>
      </c>
      <c r="F87" s="12">
        <f t="shared" si="2"/>
        <v>0</v>
      </c>
      <c r="G87" s="1" t="str">
        <f t="shared" si="3"/>
        <v>Dead</v>
      </c>
      <c r="H87" s="1">
        <f t="shared" si="8"/>
        <v>0</v>
      </c>
      <c r="I87" s="1" t="str">
        <f t="shared" si="4"/>
        <v/>
      </c>
    </row>
    <row r="88" ht="14.25" customHeight="1">
      <c r="A88" s="1">
        <f t="shared" si="5"/>
        <v>122</v>
      </c>
      <c r="B88" s="12">
        <f t="shared" si="6"/>
        <v>0</v>
      </c>
      <c r="C88" s="12">
        <f t="shared" si="1"/>
        <v>0</v>
      </c>
      <c r="E88" s="12">
        <f t="shared" si="7"/>
        <v>0</v>
      </c>
      <c r="F88" s="12">
        <f t="shared" si="2"/>
        <v>0</v>
      </c>
      <c r="G88" s="1" t="str">
        <f t="shared" si="3"/>
        <v>Dead</v>
      </c>
      <c r="H88" s="1">
        <f t="shared" si="8"/>
        <v>0</v>
      </c>
      <c r="I88" s="1" t="str">
        <f t="shared" si="4"/>
        <v/>
      </c>
    </row>
    <row r="89" ht="14.25" customHeight="1">
      <c r="A89" s="1">
        <f t="shared" si="5"/>
        <v>123</v>
      </c>
      <c r="B89" s="12">
        <f t="shared" si="6"/>
        <v>0</v>
      </c>
      <c r="C89" s="12">
        <f t="shared" si="1"/>
        <v>0</v>
      </c>
      <c r="E89" s="12">
        <f t="shared" si="7"/>
        <v>0</v>
      </c>
      <c r="F89" s="12">
        <f t="shared" si="2"/>
        <v>0</v>
      </c>
      <c r="G89" s="1" t="str">
        <f t="shared" si="3"/>
        <v>Dead</v>
      </c>
      <c r="H89" s="1">
        <f t="shared" si="8"/>
        <v>0</v>
      </c>
      <c r="I89" s="1" t="str">
        <f t="shared" si="4"/>
        <v/>
      </c>
    </row>
    <row r="90" ht="14.25" customHeight="1">
      <c r="A90" s="1">
        <f t="shared" si="5"/>
        <v>124</v>
      </c>
      <c r="B90" s="12">
        <f t="shared" si="6"/>
        <v>0</v>
      </c>
      <c r="C90" s="12">
        <f t="shared" si="1"/>
        <v>0</v>
      </c>
      <c r="E90" s="12">
        <f t="shared" si="7"/>
        <v>0</v>
      </c>
      <c r="F90" s="12">
        <f t="shared" si="2"/>
        <v>0</v>
      </c>
      <c r="G90" s="1" t="str">
        <f t="shared" si="3"/>
        <v>Dead</v>
      </c>
      <c r="H90" s="1">
        <f t="shared" si="8"/>
        <v>0</v>
      </c>
      <c r="I90" s="1" t="str">
        <f t="shared" si="4"/>
        <v/>
      </c>
    </row>
    <row r="91" ht="14.25" customHeight="1">
      <c r="A91" s="1">
        <f t="shared" si="5"/>
        <v>125</v>
      </c>
      <c r="B91" s="12">
        <f t="shared" si="6"/>
        <v>0</v>
      </c>
      <c r="C91" s="12">
        <f t="shared" si="1"/>
        <v>0</v>
      </c>
      <c r="E91" s="12">
        <f t="shared" si="7"/>
        <v>0</v>
      </c>
      <c r="F91" s="12">
        <f t="shared" si="2"/>
        <v>0</v>
      </c>
      <c r="G91" s="1" t="str">
        <f t="shared" si="3"/>
        <v>Dead</v>
      </c>
      <c r="H91" s="1">
        <f t="shared" si="8"/>
        <v>0</v>
      </c>
      <c r="I91" s="1" t="str">
        <f t="shared" si="4"/>
        <v/>
      </c>
    </row>
    <row r="92" ht="14.25" customHeight="1">
      <c r="A92" s="1">
        <f t="shared" si="5"/>
        <v>126</v>
      </c>
      <c r="B92" s="12">
        <f t="shared" si="6"/>
        <v>0</v>
      </c>
      <c r="C92" s="12">
        <f t="shared" si="1"/>
        <v>0</v>
      </c>
      <c r="E92" s="12">
        <f t="shared" si="7"/>
        <v>0</v>
      </c>
      <c r="F92" s="12">
        <f t="shared" si="2"/>
        <v>0</v>
      </c>
      <c r="G92" s="1" t="str">
        <f t="shared" si="3"/>
        <v>Dead</v>
      </c>
      <c r="H92" s="1">
        <f t="shared" si="8"/>
        <v>0</v>
      </c>
      <c r="I92" s="1" t="str">
        <f t="shared" si="4"/>
        <v/>
      </c>
    </row>
    <row r="93" ht="14.25" customHeight="1">
      <c r="A93" s="1">
        <f t="shared" si="5"/>
        <v>127</v>
      </c>
      <c r="B93" s="12">
        <f t="shared" si="6"/>
        <v>0</v>
      </c>
      <c r="C93" s="12">
        <f t="shared" si="1"/>
        <v>0</v>
      </c>
      <c r="E93" s="12">
        <f t="shared" si="7"/>
        <v>0</v>
      </c>
      <c r="F93" s="12">
        <f t="shared" si="2"/>
        <v>0</v>
      </c>
      <c r="G93" s="1" t="str">
        <f t="shared" si="3"/>
        <v>Dead</v>
      </c>
      <c r="H93" s="1">
        <f t="shared" si="8"/>
        <v>0</v>
      </c>
      <c r="I93" s="1" t="str">
        <f t="shared" si="4"/>
        <v/>
      </c>
    </row>
    <row r="94" ht="14.25" customHeight="1">
      <c r="A94" s="1">
        <f t="shared" si="5"/>
        <v>128</v>
      </c>
      <c r="B94" s="12">
        <f t="shared" si="6"/>
        <v>0</v>
      </c>
      <c r="C94" s="12">
        <f t="shared" si="1"/>
        <v>0</v>
      </c>
      <c r="E94" s="12">
        <f t="shared" si="7"/>
        <v>0</v>
      </c>
      <c r="F94" s="12">
        <f t="shared" si="2"/>
        <v>0</v>
      </c>
      <c r="G94" s="1" t="str">
        <f t="shared" si="3"/>
        <v>Dead</v>
      </c>
      <c r="H94" s="1">
        <f t="shared" si="8"/>
        <v>0</v>
      </c>
      <c r="I94" s="1" t="str">
        <f t="shared" si="4"/>
        <v/>
      </c>
    </row>
    <row r="95" ht="14.25" customHeight="1">
      <c r="A95" s="1">
        <f t="shared" si="5"/>
        <v>129</v>
      </c>
      <c r="B95" s="12">
        <f t="shared" si="6"/>
        <v>0</v>
      </c>
      <c r="C95" s="12">
        <f t="shared" si="1"/>
        <v>0</v>
      </c>
      <c r="E95" s="12">
        <f t="shared" si="7"/>
        <v>0</v>
      </c>
      <c r="F95" s="12">
        <f t="shared" si="2"/>
        <v>0</v>
      </c>
      <c r="G95" s="1" t="str">
        <f t="shared" si="3"/>
        <v>Dead</v>
      </c>
      <c r="H95" s="1">
        <f t="shared" si="8"/>
        <v>0</v>
      </c>
      <c r="I95" s="1" t="str">
        <f t="shared" si="4"/>
        <v/>
      </c>
    </row>
    <row r="96" ht="14.25" customHeight="1">
      <c r="A96" s="1">
        <f t="shared" si="5"/>
        <v>130</v>
      </c>
      <c r="B96" s="12">
        <f t="shared" si="6"/>
        <v>0</v>
      </c>
      <c r="C96" s="12">
        <f t="shared" si="1"/>
        <v>0</v>
      </c>
      <c r="E96" s="12">
        <f t="shared" si="7"/>
        <v>0</v>
      </c>
      <c r="F96" s="12">
        <f t="shared" si="2"/>
        <v>0</v>
      </c>
      <c r="G96" s="1" t="str">
        <f t="shared" si="3"/>
        <v>Dead</v>
      </c>
      <c r="H96" s="1">
        <f t="shared" si="8"/>
        <v>0</v>
      </c>
      <c r="I96" s="1" t="str">
        <f t="shared" si="4"/>
        <v/>
      </c>
    </row>
    <row r="97" ht="14.25" customHeight="1">
      <c r="A97" s="1">
        <f t="shared" si="5"/>
        <v>131</v>
      </c>
      <c r="B97" s="12">
        <f t="shared" si="6"/>
        <v>0</v>
      </c>
      <c r="C97" s="12">
        <f t="shared" si="1"/>
        <v>0</v>
      </c>
      <c r="E97" s="12">
        <f t="shared" si="7"/>
        <v>0</v>
      </c>
      <c r="F97" s="12">
        <f t="shared" si="2"/>
        <v>0</v>
      </c>
      <c r="G97" s="1" t="str">
        <f t="shared" si="3"/>
        <v>Dead</v>
      </c>
      <c r="H97" s="1">
        <f t="shared" si="8"/>
        <v>0</v>
      </c>
      <c r="I97" s="1" t="str">
        <f t="shared" si="4"/>
        <v/>
      </c>
    </row>
    <row r="98" ht="14.25" customHeight="1">
      <c r="A98" s="1">
        <f t="shared" si="5"/>
        <v>132</v>
      </c>
      <c r="B98" s="12">
        <f t="shared" si="6"/>
        <v>0</v>
      </c>
      <c r="C98" s="12">
        <f t="shared" si="1"/>
        <v>0</v>
      </c>
      <c r="E98" s="12">
        <f t="shared" si="7"/>
        <v>0</v>
      </c>
      <c r="F98" s="12">
        <f t="shared" si="2"/>
        <v>0</v>
      </c>
      <c r="G98" s="1" t="str">
        <f t="shared" si="3"/>
        <v>Dead</v>
      </c>
      <c r="H98" s="1">
        <f t="shared" si="8"/>
        <v>0</v>
      </c>
      <c r="I98" s="1" t="str">
        <f t="shared" si="4"/>
        <v/>
      </c>
    </row>
    <row r="99" ht="14.25" customHeight="1">
      <c r="A99" s="1">
        <f t="shared" si="5"/>
        <v>133</v>
      </c>
      <c r="B99" s="12">
        <f t="shared" si="6"/>
        <v>0</v>
      </c>
      <c r="C99" s="12">
        <f t="shared" si="1"/>
        <v>0</v>
      </c>
      <c r="E99" s="12">
        <f t="shared" si="7"/>
        <v>0</v>
      </c>
      <c r="F99" s="12">
        <f t="shared" si="2"/>
        <v>0</v>
      </c>
      <c r="G99" s="1" t="str">
        <f t="shared" si="3"/>
        <v>Dead</v>
      </c>
      <c r="H99" s="1">
        <f t="shared" si="8"/>
        <v>0</v>
      </c>
      <c r="I99" s="1" t="str">
        <f t="shared" si="4"/>
        <v/>
      </c>
    </row>
    <row r="100" ht="14.25" customHeight="1">
      <c r="A100" s="1">
        <f t="shared" si="5"/>
        <v>134</v>
      </c>
      <c r="B100" s="12">
        <f t="shared" si="6"/>
        <v>0</v>
      </c>
      <c r="C100" s="12">
        <f t="shared" si="1"/>
        <v>0</v>
      </c>
      <c r="E100" s="12">
        <f t="shared" si="7"/>
        <v>0</v>
      </c>
      <c r="F100" s="12">
        <f t="shared" si="2"/>
        <v>0</v>
      </c>
      <c r="G100" s="1" t="str">
        <f t="shared" si="3"/>
        <v>Dead</v>
      </c>
      <c r="H100" s="1">
        <f t="shared" si="8"/>
        <v>0</v>
      </c>
      <c r="I100" s="1" t="str">
        <f t="shared" si="4"/>
        <v/>
      </c>
    </row>
    <row r="101" ht="14.25" customHeight="1">
      <c r="A101" s="1">
        <f t="shared" si="5"/>
        <v>135</v>
      </c>
      <c r="B101" s="12">
        <f t="shared" si="6"/>
        <v>0</v>
      </c>
      <c r="C101" s="12">
        <f t="shared" si="1"/>
        <v>0</v>
      </c>
      <c r="E101" s="12">
        <f t="shared" si="7"/>
        <v>0</v>
      </c>
      <c r="F101" s="12">
        <f t="shared" si="2"/>
        <v>0</v>
      </c>
      <c r="G101" s="1" t="str">
        <f t="shared" si="3"/>
        <v>Dead</v>
      </c>
      <c r="H101" s="1">
        <f t="shared" si="8"/>
        <v>0</v>
      </c>
      <c r="I101" s="1" t="str">
        <f t="shared" si="4"/>
        <v/>
      </c>
    </row>
    <row r="102" ht="14.25" customHeight="1">
      <c r="A102" s="1">
        <f t="shared" si="5"/>
        <v>136</v>
      </c>
      <c r="B102" s="12">
        <f t="shared" si="6"/>
        <v>0</v>
      </c>
      <c r="C102" s="12">
        <f t="shared" si="1"/>
        <v>0</v>
      </c>
      <c r="E102" s="12">
        <f t="shared" si="7"/>
        <v>0</v>
      </c>
      <c r="F102" s="12">
        <f t="shared" si="2"/>
        <v>0</v>
      </c>
      <c r="G102" s="1" t="str">
        <f t="shared" si="3"/>
        <v>Dead</v>
      </c>
      <c r="H102" s="1">
        <f t="shared" si="8"/>
        <v>0</v>
      </c>
      <c r="I102" s="1" t="str">
        <f t="shared" si="4"/>
        <v/>
      </c>
    </row>
    <row r="103" ht="14.25" customHeight="1">
      <c r="A103" s="1">
        <f t="shared" si="5"/>
        <v>137</v>
      </c>
      <c r="B103" s="12">
        <f t="shared" si="6"/>
        <v>0</v>
      </c>
      <c r="C103" s="12">
        <f t="shared" si="1"/>
        <v>0</v>
      </c>
      <c r="E103" s="12">
        <f t="shared" si="7"/>
        <v>0</v>
      </c>
      <c r="F103" s="12">
        <f t="shared" si="2"/>
        <v>0</v>
      </c>
      <c r="G103" s="1" t="str">
        <f t="shared" si="3"/>
        <v>Dead</v>
      </c>
      <c r="H103" s="1">
        <f t="shared" si="8"/>
        <v>0</v>
      </c>
      <c r="I103" s="1" t="str">
        <f t="shared" si="4"/>
        <v/>
      </c>
    </row>
    <row r="104" ht="14.25" customHeight="1">
      <c r="A104" s="1">
        <f t="shared" si="5"/>
        <v>138</v>
      </c>
      <c r="B104" s="12">
        <f t="shared" si="6"/>
        <v>0</v>
      </c>
      <c r="C104" s="12">
        <f t="shared" si="1"/>
        <v>0</v>
      </c>
      <c r="E104" s="12">
        <f t="shared" si="7"/>
        <v>0</v>
      </c>
      <c r="F104" s="12">
        <f t="shared" si="2"/>
        <v>0</v>
      </c>
      <c r="G104" s="1" t="str">
        <f t="shared" si="3"/>
        <v>Dead</v>
      </c>
      <c r="H104" s="1">
        <f t="shared" si="8"/>
        <v>0</v>
      </c>
      <c r="I104" s="1" t="str">
        <f t="shared" si="4"/>
        <v/>
      </c>
    </row>
    <row r="105" ht="14.25" customHeight="1">
      <c r="A105" s="1">
        <f t="shared" si="5"/>
        <v>139</v>
      </c>
      <c r="B105" s="12">
        <f t="shared" si="6"/>
        <v>0</v>
      </c>
      <c r="C105" s="12">
        <f t="shared" si="1"/>
        <v>0</v>
      </c>
      <c r="E105" s="12">
        <f t="shared" si="7"/>
        <v>0</v>
      </c>
      <c r="F105" s="12">
        <f t="shared" si="2"/>
        <v>0</v>
      </c>
      <c r="G105" s="1" t="str">
        <f t="shared" si="3"/>
        <v>Dead</v>
      </c>
      <c r="H105" s="1">
        <f t="shared" si="8"/>
        <v>0</v>
      </c>
      <c r="I105" s="1" t="str">
        <f t="shared" si="4"/>
        <v/>
      </c>
    </row>
    <row r="106" ht="14.25" customHeight="1">
      <c r="A106" s="1">
        <f t="shared" si="5"/>
        <v>140</v>
      </c>
      <c r="B106" s="12">
        <f t="shared" si="6"/>
        <v>0</v>
      </c>
      <c r="C106" s="12">
        <f t="shared" si="1"/>
        <v>0</v>
      </c>
      <c r="E106" s="12">
        <f t="shared" si="7"/>
        <v>0</v>
      </c>
      <c r="F106" s="12">
        <f t="shared" si="2"/>
        <v>0</v>
      </c>
      <c r="G106" s="1" t="str">
        <f t="shared" si="3"/>
        <v>Dead</v>
      </c>
      <c r="H106" s="1">
        <f t="shared" si="8"/>
        <v>0</v>
      </c>
      <c r="I106" s="1" t="str">
        <f t="shared" si="4"/>
        <v/>
      </c>
    </row>
    <row r="107" ht="14.25" customHeight="1">
      <c r="A107" s="1">
        <f t="shared" si="5"/>
        <v>141</v>
      </c>
      <c r="B107" s="12">
        <f t="shared" si="6"/>
        <v>0</v>
      </c>
      <c r="C107" s="12">
        <f t="shared" si="1"/>
        <v>0</v>
      </c>
      <c r="E107" s="12">
        <f t="shared" si="7"/>
        <v>0</v>
      </c>
      <c r="F107" s="12">
        <f t="shared" si="2"/>
        <v>0</v>
      </c>
      <c r="G107" s="1" t="str">
        <f t="shared" si="3"/>
        <v>Dead</v>
      </c>
      <c r="H107" s="1">
        <f t="shared" si="8"/>
        <v>0</v>
      </c>
      <c r="I107" s="1" t="str">
        <f t="shared" si="4"/>
        <v/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